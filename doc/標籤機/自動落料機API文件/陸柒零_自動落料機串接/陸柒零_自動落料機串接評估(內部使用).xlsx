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Folder\VTEAM-GROUP\CLOUD-Project\VTEAM-DOC\文件分析\自動落料機API文件\陸柒零_自動落料機串接\"/>
    </mc:Choice>
  </mc:AlternateContent>
  <bookViews>
    <workbookView xWindow="480" yWindow="60" windowWidth="18200" windowHeight="8510"/>
  </bookViews>
  <sheets>
    <sheet name="客製化需求" sheetId="1" r:id="rId1"/>
  </sheets>
  <calcPr calcId="162913"/>
</workbook>
</file>

<file path=xl/calcChain.xml><?xml version="1.0" encoding="utf-8"?>
<calcChain xmlns="http://schemas.openxmlformats.org/spreadsheetml/2006/main">
  <c r="I4" i="1" l="1"/>
  <c r="J4" i="1" s="1"/>
  <c r="J7" i="1" s="1"/>
  <c r="H7" i="1"/>
  <c r="G7" i="1"/>
  <c r="F7" i="1"/>
  <c r="I7" i="1" l="1"/>
  <c r="D4" i="1"/>
  <c r="D7" i="1" s="1"/>
</calcChain>
</file>

<file path=xl/sharedStrings.xml><?xml version="1.0" encoding="utf-8"?>
<sst xmlns="http://schemas.openxmlformats.org/spreadsheetml/2006/main" count="13" uniqueCount="13">
  <si>
    <t>人日評估</t>
  </si>
  <si>
    <t>項次</t>
  </si>
  <si>
    <t>項目</t>
  </si>
  <si>
    <t>需求說明</t>
  </si>
  <si>
    <t>費用</t>
  </si>
  <si>
    <t>SA</t>
  </si>
  <si>
    <t>PG</t>
  </si>
  <si>
    <t>TS</t>
  </si>
  <si>
    <t>Total</t>
  </si>
  <si>
    <t>合計</t>
  </si>
  <si>
    <t>陸柒零_自動落料機串接評估(內部使用)</t>
    <phoneticPr fontId="7" type="noConversion"/>
  </si>
  <si>
    <t>落料機客製化串接
QRCode列印程序開發</t>
    <phoneticPr fontId="7" type="noConversion"/>
  </si>
  <si>
    <t>1. 客製化標籤印表格式擴充。
2. 落料機QRCode編輯及列印程序開發。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</si>
</sst>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7" formatCode="&quot;$&quot;#,##0.00;\-&quot;$&quot;#,##0.00"/>
    <numFmt numFmtId="176" formatCode="\$#,##0_);\(\$#,##0\)"/>
    <numFmt numFmtId="177" formatCode="#,##0.0"/>
  </numFmts>
  <fonts count="9" x14ac:knownFonts="1">
    <font>
      <sz val="11"/>
      <color theme="1"/>
      <name val="新細明體"/>
      <family val="2"/>
      <scheme val="minor"/>
    </font>
    <font>
      <sz val="16"/>
      <color rgb="FF000000"/>
      <name val="標楷體"/>
      <family val="2"/>
    </font>
    <font>
      <sz val="12"/>
      <color rgb="FF000000"/>
      <name val="標楷體"/>
      <family val="2"/>
    </font>
    <font>
      <sz val="11"/>
      <color theme="1"/>
      <name val="Calibri"/>
      <family val="2"/>
    </font>
    <font>
      <sz val="16"/>
      <color rgb="FF000000"/>
      <name val="新細明體"/>
      <family val="2"/>
    </font>
    <font>
      <sz val="14"/>
      <color rgb="FF000000"/>
      <name val="標楷體"/>
      <family val="2"/>
    </font>
    <font>
      <sz val="14"/>
      <color rgb="FF000000"/>
      <name val="新細明體"/>
      <family val="2"/>
    </font>
    <font>
      <sz val="9"/>
      <name val="新細明體"/>
      <family val="3"/>
      <charset val="136"/>
      <scheme val="minor"/>
    </font>
    <font>
      <sz val="14"/>
      <color rgb="FF00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1" xfId="0" applyFont="1" applyBorder="1" applyAlignment="1">
      <alignment horizontal="center" wrapText="1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right"/>
    </xf>
    <xf numFmtId="177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7" fontId="5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wrapText="1"/>
    </xf>
    <xf numFmtId="177" fontId="5" fillId="0" borderId="2" xfId="0" applyNumberFormat="1" applyFont="1" applyBorder="1" applyAlignment="1">
      <alignment horizontal="right"/>
    </xf>
    <xf numFmtId="176" fontId="5" fillId="0" borderId="5" xfId="0" applyNumberFormat="1" applyFont="1" applyBorder="1" applyAlignment="1">
      <alignment horizontal="right"/>
    </xf>
    <xf numFmtId="176" fontId="5" fillId="0" borderId="3" xfId="0" applyNumberFormat="1" applyFont="1" applyBorder="1" applyAlignment="1">
      <alignment horizontal="right" wrapText="1"/>
    </xf>
    <xf numFmtId="176" fontId="5" fillId="0" borderId="2" xfId="0" applyNumberFormat="1" applyFont="1" applyBorder="1" applyAlignment="1">
      <alignment horizontal="right" wrapText="1"/>
    </xf>
    <xf numFmtId="176" fontId="5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 wrapText="1"/>
    </xf>
    <xf numFmtId="176" fontId="0" fillId="0" borderId="0" xfId="0" applyNumberFormat="1" applyAlignment="1">
      <alignment horizontal="right" wrapText="1"/>
    </xf>
    <xf numFmtId="0" fontId="0" fillId="0" borderId="0" xfId="0" applyAlignment="1">
      <alignment wrapText="1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176" fontId="3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77" fontId="5" fillId="0" borderId="2" xfId="0" applyNumberFormat="1" applyFont="1" applyBorder="1" applyAlignment="1">
      <alignment horizontal="center"/>
    </xf>
    <xf numFmtId="177" fontId="3" fillId="0" borderId="2" xfId="0" applyNumberFormat="1" applyFont="1" applyBorder="1" applyAlignment="1">
      <alignment horizontal="center"/>
    </xf>
    <xf numFmtId="176" fontId="3" fillId="0" borderId="2" xfId="0" applyNumberFormat="1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 wrapText="1"/>
    </xf>
    <xf numFmtId="177" fontId="5" fillId="0" borderId="6" xfId="0" applyNumberFormat="1" applyFont="1" applyBorder="1" applyAlignment="1">
      <alignment horizontal="center"/>
    </xf>
    <xf numFmtId="177" fontId="3" fillId="0" borderId="7" xfId="0" applyNumberFormat="1" applyFont="1" applyBorder="1" applyAlignment="1">
      <alignment horizontal="left"/>
    </xf>
    <xf numFmtId="176" fontId="3" fillId="0" borderId="8" xfId="0" applyNumberFormat="1" applyFont="1" applyBorder="1" applyAlignment="1">
      <alignment horizontal="left"/>
    </xf>
    <xf numFmtId="0" fontId="5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6" fillId="0" borderId="2" xfId="0" applyFont="1" applyBorder="1" applyAlignment="1">
      <alignment horizontal="left" vertical="center" wrapText="1"/>
    </xf>
    <xf numFmtId="176" fontId="3" fillId="0" borderId="9" xfId="0" applyNumberFormat="1" applyFont="1" applyBorder="1" applyAlignment="1">
      <alignment horizontal="left" wrapText="1"/>
    </xf>
    <xf numFmtId="0" fontId="8" fillId="2" borderId="6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wrapText="1"/>
    </xf>
    <xf numFmtId="176" fontId="5" fillId="2" borderId="11" xfId="0" applyNumberFormat="1" applyFont="1" applyFill="1" applyBorder="1" applyAlignment="1">
      <alignment horizontal="right" wrapText="1"/>
    </xf>
    <xf numFmtId="176" fontId="5" fillId="0" borderId="12" xfId="0" applyNumberFormat="1" applyFont="1" applyBorder="1" applyAlignment="1">
      <alignment horizontal="right" wrapText="1"/>
    </xf>
    <xf numFmtId="176" fontId="5" fillId="0" borderId="5" xfId="0" applyNumberFormat="1" applyFont="1" applyBorder="1" applyAlignment="1">
      <alignment horizontal="center" wrapText="1"/>
    </xf>
    <xf numFmtId="176" fontId="6" fillId="0" borderId="10" xfId="0" applyNumberFormat="1" applyFont="1" applyBorder="1" applyAlignment="1">
      <alignment horizontal="center" vertical="top" wrapText="1"/>
    </xf>
    <xf numFmtId="177" fontId="5" fillId="2" borderId="4" xfId="0" applyNumberFormat="1" applyFont="1" applyFill="1" applyBorder="1" applyAlignment="1">
      <alignment horizontal="center" vertical="center"/>
    </xf>
    <xf numFmtId="177" fontId="5" fillId="0" borderId="2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176" fontId="6" fillId="0" borderId="10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"/>
  <sheetViews>
    <sheetView tabSelected="1" workbookViewId="0">
      <selection activeCell="G20" sqref="G20"/>
    </sheetView>
  </sheetViews>
  <sheetFormatPr defaultRowHeight="14.5" x14ac:dyDescent="0.3"/>
  <cols>
    <col min="1" max="1" width="7.69921875" style="16" bestFit="1" customWidth="1"/>
    <col min="2" max="2" width="29.59765625" style="17" bestFit="1" customWidth="1"/>
    <col min="3" max="3" width="82.296875" style="17" bestFit="1" customWidth="1"/>
    <col min="4" max="4" width="14.296875" style="18" bestFit="1" customWidth="1"/>
    <col min="5" max="5" width="14.296875" style="19" bestFit="1" customWidth="1"/>
    <col min="6" max="6" width="11.3984375" style="20" bestFit="1" customWidth="1"/>
    <col min="7" max="7" width="11.296875" style="20" bestFit="1" customWidth="1"/>
    <col min="8" max="9" width="10.3984375" style="20" bestFit="1" customWidth="1"/>
    <col min="10" max="10" width="12.8984375" style="21" bestFit="1" customWidth="1"/>
  </cols>
  <sheetData>
    <row r="1" spans="1:10" ht="24.75" customHeight="1" x14ac:dyDescent="0.45">
      <c r="A1" s="22" t="s">
        <v>10</v>
      </c>
      <c r="B1" s="23"/>
      <c r="C1" s="23"/>
      <c r="D1" s="24"/>
      <c r="E1" s="1"/>
      <c r="F1" s="2"/>
      <c r="G1" s="2"/>
      <c r="H1" s="2"/>
      <c r="I1" s="2"/>
      <c r="J1" s="3"/>
    </row>
    <row r="2" spans="1:10" ht="24.75" customHeight="1" x14ac:dyDescent="0.45">
      <c r="A2" s="25"/>
      <c r="B2" s="23"/>
      <c r="C2" s="23"/>
      <c r="D2" s="24"/>
      <c r="E2" s="1"/>
      <c r="F2" s="26" t="s">
        <v>0</v>
      </c>
      <c r="G2" s="27"/>
      <c r="H2" s="27"/>
      <c r="I2" s="27"/>
      <c r="J2" s="28"/>
    </row>
    <row r="3" spans="1:10" ht="24" customHeight="1" x14ac:dyDescent="0.45">
      <c r="A3" s="5" t="s">
        <v>1</v>
      </c>
      <c r="B3" s="6" t="s">
        <v>2</v>
      </c>
      <c r="C3" s="6" t="s">
        <v>3</v>
      </c>
      <c r="D3" s="42" t="s">
        <v>4</v>
      </c>
      <c r="E3" s="7"/>
      <c r="F3" s="4" t="s">
        <v>5</v>
      </c>
      <c r="G3" s="4" t="s">
        <v>6</v>
      </c>
      <c r="H3" s="4" t="s">
        <v>7</v>
      </c>
      <c r="I3" s="4" t="s">
        <v>8</v>
      </c>
      <c r="J3" s="8"/>
    </row>
    <row r="4" spans="1:10" ht="75.75" customHeight="1" x14ac:dyDescent="0.45">
      <c r="A4" s="9"/>
      <c r="B4" s="36" t="s">
        <v>11</v>
      </c>
      <c r="C4" s="38" t="s">
        <v>12</v>
      </c>
      <c r="D4" s="47">
        <f>J7</f>
        <v>25000</v>
      </c>
      <c r="E4" s="40"/>
      <c r="F4" s="44">
        <v>1</v>
      </c>
      <c r="G4" s="44">
        <v>3</v>
      </c>
      <c r="H4" s="44">
        <v>1</v>
      </c>
      <c r="I4" s="45">
        <f t="shared" ref="I4" si="0">SUM(F4:H4)</f>
        <v>5</v>
      </c>
      <c r="J4" s="46">
        <f t="shared" ref="J4" si="1">5000*I4</f>
        <v>25000</v>
      </c>
    </row>
    <row r="5" spans="1:10" ht="18.75" customHeight="1" x14ac:dyDescent="0.45">
      <c r="A5" s="9"/>
      <c r="B5" s="10"/>
      <c r="C5" s="39"/>
      <c r="D5" s="43"/>
      <c r="E5" s="41"/>
      <c r="F5" s="4"/>
      <c r="G5" s="4"/>
      <c r="H5" s="4"/>
      <c r="I5" s="11"/>
      <c r="J5" s="12"/>
    </row>
    <row r="6" spans="1:10" ht="18.75" customHeight="1" x14ac:dyDescent="0.45">
      <c r="A6" s="29"/>
      <c r="B6" s="30"/>
      <c r="C6" s="30"/>
      <c r="D6" s="37"/>
      <c r="E6" s="13"/>
      <c r="F6" s="31"/>
      <c r="G6" s="32"/>
      <c r="H6" s="32"/>
      <c r="I6" s="32"/>
      <c r="J6" s="33"/>
    </row>
    <row r="7" spans="1:10" ht="30.65" customHeight="1" x14ac:dyDescent="0.45">
      <c r="A7" s="5"/>
      <c r="B7" s="34" t="s">
        <v>9</v>
      </c>
      <c r="C7" s="35"/>
      <c r="D7" s="14">
        <f>SUM(D2:D5)</f>
        <v>25000</v>
      </c>
      <c r="E7" s="13"/>
      <c r="F7" s="4">
        <f>SUM(F4:F5)</f>
        <v>1</v>
      </c>
      <c r="G7" s="4">
        <f>SUM(G4:G5)</f>
        <v>3</v>
      </c>
      <c r="H7" s="4">
        <f>SUM(H4:H5)</f>
        <v>1</v>
      </c>
      <c r="I7" s="4">
        <f>SUM(I4:I5)</f>
        <v>5</v>
      </c>
      <c r="J7" s="15">
        <f>SUM(J4:J5)</f>
        <v>25000</v>
      </c>
    </row>
  </sheetData>
  <mergeCells count="5">
    <mergeCell ref="B7:C7"/>
    <mergeCell ref="A1:D2"/>
    <mergeCell ref="F2:J2"/>
    <mergeCell ref="A6:D6"/>
    <mergeCell ref="F6:J6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客製化需求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Riekie Wang</cp:lastModifiedBy>
  <dcterms:created xsi:type="dcterms:W3CDTF">2023-09-08T03:20:02Z</dcterms:created>
  <dcterms:modified xsi:type="dcterms:W3CDTF">2024-05-30T02:27:37Z</dcterms:modified>
</cp:coreProperties>
</file>